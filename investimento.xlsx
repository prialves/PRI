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o\Desktop\"/>
    </mc:Choice>
  </mc:AlternateContent>
  <xr:revisionPtr revIDLastSave="0" documentId="13_ncr:1_{85787C3D-2AAF-43D7-B9E0-65C8CB90C654}" xr6:coauthVersionLast="47" xr6:coauthVersionMax="47" xr10:uidLastSave="{00000000-0000-0000-0000-000000000000}"/>
  <bookViews>
    <workbookView xWindow="-120" yWindow="-120" windowWidth="20730" windowHeight="11040" xr2:uid="{3F3BF652-A59C-4777-81D6-B28D34163779}"/>
  </bookViews>
  <sheets>
    <sheet name="ap priscila" sheetId="1" r:id="rId1"/>
  </sheets>
  <definedNames>
    <definedName name="APORTE">'ap priscila'!$D$12</definedName>
    <definedName name="carteira">'ap priscila'!$M$13</definedName>
    <definedName name="rendimento_carteira">'ap priscila'!$D$13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" i="1" l="1"/>
  <c r="C23" i="1"/>
  <c r="D23" i="1" s="1"/>
  <c r="C24" i="1"/>
  <c r="D24" i="1" s="1"/>
  <c r="C22" i="1"/>
  <c r="D22" i="1" s="1"/>
  <c r="C21" i="1"/>
  <c r="D21" i="1" s="1"/>
  <c r="C20" i="1"/>
  <c r="D20" i="1" s="1"/>
  <c r="D15" i="1"/>
  <c r="D16" i="1" s="1"/>
</calcChain>
</file>

<file path=xl/sharedStrings.xml><?xml version="1.0" encoding="utf-8"?>
<sst xmlns="http://schemas.openxmlformats.org/spreadsheetml/2006/main" count="17" uniqueCount="17">
  <si>
    <t>Quanto investir por mês ?</t>
  </si>
  <si>
    <t>Por Quantos Anos ?</t>
  </si>
  <si>
    <t>Taxa de Rendimento mensal ?</t>
  </si>
  <si>
    <t>Patrimônio acumulado ?</t>
  </si>
  <si>
    <t>Dividendos Mensais ?</t>
  </si>
  <si>
    <t>Quanto em 2 Anos ?</t>
  </si>
  <si>
    <t>Quanto em 5 Anos ?</t>
  </si>
  <si>
    <t>Quanto em 10 Anos ?</t>
  </si>
  <si>
    <t>Quanto em 20 Anos ?</t>
  </si>
  <si>
    <t>Quanto em 30 Anos ?</t>
  </si>
  <si>
    <t>rendimento da carteira</t>
  </si>
  <si>
    <t>Salario</t>
  </si>
  <si>
    <t>Sugestao de investimento</t>
  </si>
  <si>
    <t>INVESTIMENTO INICIAL</t>
  </si>
  <si>
    <t>CONFIGURAÇÕES</t>
  </si>
  <si>
    <t>CENARIOS</t>
  </si>
  <si>
    <t>DIVIDENDO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</si>
</sst>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#,##0.00;[Red]\-&quot;R$&quot;#,##0.00"/>
    <numFmt numFmtId="44" formatCode="_-&quot;R$&quot;* #,##0.00_-;\-&quot;R$&quot;* #,##0.00_-;_-&quot;R$&quot;* &quot;-&quot;??_-;_-@_-"/>
    <numFmt numFmtId="167" formatCode="&quot;R$&quot;\ #,##0.00"/>
    <numFmt numFmtId="168" formatCode="&quot;R$&quot;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b/>
      <sz val="16"/>
      <color theme="0"/>
      <name val="Arial"/>
      <family val="2"/>
    </font>
    <font>
      <b/>
      <sz val="2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theme="2"/>
      </left>
      <right style="medium">
        <color theme="2"/>
      </right>
      <top style="medium">
        <color theme="2"/>
      </top>
      <bottom style="medium">
        <color theme="2"/>
      </bottom>
      <diagonal/>
    </border>
    <border>
      <left/>
      <right style="medium">
        <color theme="2"/>
      </right>
      <top style="medium">
        <color theme="2"/>
      </top>
      <bottom/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 style="medium">
        <color theme="2"/>
      </left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 style="medium">
        <color theme="2"/>
      </right>
      <top/>
      <bottom style="medium">
        <color theme="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ck">
        <color theme="2" tint="-9.9917600024414813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ck">
        <color theme="2" tint="-9.9917600024414813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ck">
        <color theme="2" tint="-9.9917600024414813E-2"/>
      </left>
      <right style="thin">
        <color theme="2" tint="-9.9948118533890809E-2"/>
      </right>
      <top style="thin">
        <color theme="2" tint="-9.9948118533890809E-2"/>
      </top>
      <bottom style="thick">
        <color theme="2" tint="-9.9917600024414813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ck">
        <color theme="2" tint="-9.9917600024414813E-2"/>
      </bottom>
      <diagonal/>
    </border>
    <border>
      <left style="thin">
        <color theme="2" tint="-9.9948118533890809E-2"/>
      </left>
      <right style="thick">
        <color theme="2" tint="-9.9917600024414813E-2"/>
      </right>
      <top style="thin">
        <color theme="2" tint="-9.9948118533890809E-2"/>
      </top>
      <bottom style="thick">
        <color theme="2" tint="-9.9917600024414813E-2"/>
      </bottom>
      <diagonal/>
    </border>
    <border>
      <left style="thick">
        <color theme="2" tint="-9.9917600024414813E-2"/>
      </left>
      <right/>
      <top style="thick">
        <color theme="2" tint="-9.9917600024414813E-2"/>
      </top>
      <bottom style="thin">
        <color theme="2" tint="-9.9948118533890809E-2"/>
      </bottom>
      <diagonal/>
    </border>
    <border>
      <left/>
      <right/>
      <top style="thick">
        <color theme="2" tint="-9.9917600024414813E-2"/>
      </top>
      <bottom style="thin">
        <color theme="2" tint="-9.9948118533890809E-2"/>
      </bottom>
      <diagonal/>
    </border>
    <border>
      <left/>
      <right style="thick">
        <color theme="2" tint="-9.9917600024414813E-2"/>
      </right>
      <top style="thick">
        <color theme="2" tint="-9.9917600024414813E-2"/>
      </top>
      <bottom style="thin">
        <color theme="2" tint="-9.9948118533890809E-2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4" fillId="2" borderId="1" xfId="0" applyFont="1" applyFill="1" applyBorder="1" applyAlignment="1">
      <alignment horizontal="left" indent="3"/>
    </xf>
    <xf numFmtId="167" fontId="4" fillId="2" borderId="1" xfId="0" applyNumberFormat="1" applyFont="1" applyFill="1" applyBorder="1" applyAlignment="1">
      <alignment horizontal="center"/>
    </xf>
    <xf numFmtId="168" fontId="4" fillId="2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left" indent="3"/>
    </xf>
    <xf numFmtId="0" fontId="5" fillId="4" borderId="1" xfId="0" applyFont="1" applyFill="1" applyBorder="1" applyAlignment="1">
      <alignment horizontal="left" indent="3"/>
    </xf>
    <xf numFmtId="44" fontId="4" fillId="0" borderId="1" xfId="1" applyFont="1" applyBorder="1"/>
    <xf numFmtId="1" fontId="4" fillId="0" borderId="1" xfId="0" applyNumberFormat="1" applyFont="1" applyBorder="1"/>
    <xf numFmtId="10" fontId="4" fillId="0" borderId="1" xfId="0" applyNumberFormat="1" applyFont="1" applyBorder="1"/>
    <xf numFmtId="8" fontId="5" fillId="4" borderId="1" xfId="0" applyNumberFormat="1" applyFont="1" applyFill="1" applyBorder="1"/>
    <xf numFmtId="0" fontId="6" fillId="5" borderId="4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0" fillId="0" borderId="0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Font="1"/>
    <xf numFmtId="0" fontId="2" fillId="0" borderId="0" xfId="0" applyFont="1"/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7" fillId="5" borderId="14" xfId="0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 vertical="center"/>
    </xf>
    <xf numFmtId="0" fontId="7" fillId="5" borderId="16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563335</xdr:colOff>
      <xdr:row>0</xdr:row>
      <xdr:rowOff>152400</xdr:rowOff>
    </xdr:from>
    <xdr:to>
      <xdr:col>6</xdr:col>
      <xdr:colOff>190499</xdr:colOff>
      <xdr:row>8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E740552-565F-27AE-D6B1-0FD4354E01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340" b="12625"/>
        <a:stretch/>
      </xdr:blipFill>
      <xdr:spPr>
        <a:xfrm>
          <a:off x="563335" y="152400"/>
          <a:ext cx="8077200" cy="1419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FF992-A8A6-4CDF-97B7-E408BC31D94C}">
  <dimension ref="A6:M26"/>
  <sheetViews>
    <sheetView showGridLines="0" tabSelected="1" zoomScale="70" zoomScaleNormal="70" workbookViewId="0">
      <selection activeCell="K10" sqref="K10:M10"/>
    </sheetView>
  </sheetViews>
  <sheetFormatPr defaultRowHeight="15" x14ac:dyDescent="0.25"/>
  <cols>
    <col min="2" max="2" width="35" bestFit="1" customWidth="1"/>
    <col min="3" max="3" width="38.85546875" customWidth="1"/>
    <col min="4" max="4" width="25.28515625" bestFit="1" customWidth="1"/>
    <col min="8" max="8" width="5.140625" customWidth="1"/>
    <col min="9" max="9" width="9.140625" hidden="1" customWidth="1"/>
    <col min="10" max="10" width="5.7109375" customWidth="1"/>
    <col min="12" max="12" width="21" customWidth="1"/>
  </cols>
  <sheetData>
    <row r="6" spans="2:13" x14ac:dyDescent="0.25">
      <c r="J6" s="28"/>
    </row>
    <row r="9" spans="2:13" ht="15.75" thickBot="1" x14ac:dyDescent="0.3">
      <c r="K9" s="18"/>
      <c r="L9" s="18"/>
      <c r="M9" s="18"/>
    </row>
    <row r="10" spans="2:13" ht="40.5" customHeight="1" thickTop="1" thickBot="1" x14ac:dyDescent="0.35">
      <c r="B10" s="26" t="s">
        <v>13</v>
      </c>
      <c r="C10" s="26"/>
      <c r="D10" s="26"/>
      <c r="E10" s="27"/>
      <c r="F10" s="27"/>
      <c r="G10" s="28"/>
      <c r="H10" s="28"/>
      <c r="I10" s="28"/>
      <c r="K10" s="32" t="s">
        <v>14</v>
      </c>
      <c r="L10" s="33"/>
      <c r="M10" s="34"/>
    </row>
    <row r="11" spans="2:13" ht="33" hidden="1" customHeight="1" thickBot="1" x14ac:dyDescent="0.35">
      <c r="B11" s="26"/>
      <c r="C11" s="26"/>
      <c r="D11" s="26"/>
      <c r="E11" s="27"/>
      <c r="F11" s="27"/>
      <c r="G11" s="28"/>
      <c r="H11" s="28"/>
      <c r="I11" s="28"/>
      <c r="J11" s="28"/>
      <c r="K11" s="29"/>
      <c r="L11" s="30"/>
      <c r="M11" s="31"/>
    </row>
    <row r="12" spans="2:13" ht="21" thickBot="1" x14ac:dyDescent="0.35">
      <c r="B12" s="6" t="s">
        <v>0</v>
      </c>
      <c r="C12" s="6"/>
      <c r="D12" s="8">
        <v>500</v>
      </c>
      <c r="E12" s="2"/>
      <c r="F12" s="2"/>
      <c r="K12" s="21" t="s">
        <v>11</v>
      </c>
      <c r="L12" s="19"/>
      <c r="M12" s="20">
        <v>5000</v>
      </c>
    </row>
    <row r="13" spans="2:13" ht="21" thickBot="1" x14ac:dyDescent="0.35">
      <c r="B13" s="6" t="s">
        <v>1</v>
      </c>
      <c r="C13" s="6"/>
      <c r="D13" s="9">
        <v>5</v>
      </c>
      <c r="E13" s="2"/>
      <c r="F13" s="2"/>
      <c r="K13" s="21" t="s">
        <v>10</v>
      </c>
      <c r="L13" s="19"/>
      <c r="M13" s="22">
        <v>0.01</v>
      </c>
    </row>
    <row r="14" spans="2:13" ht="21" thickBot="1" x14ac:dyDescent="0.35">
      <c r="B14" s="6" t="s">
        <v>2</v>
      </c>
      <c r="C14" s="6"/>
      <c r="D14" s="10">
        <v>1.0789999999999999E-2</v>
      </c>
      <c r="E14" s="2"/>
      <c r="F14" s="2"/>
      <c r="K14" s="23" t="s">
        <v>12</v>
      </c>
      <c r="L14" s="24"/>
      <c r="M14" s="25">
        <f>M12*30%</f>
        <v>1500</v>
      </c>
    </row>
    <row r="15" spans="2:13" ht="21" thickBot="1" x14ac:dyDescent="0.35">
      <c r="B15" s="7" t="s">
        <v>3</v>
      </c>
      <c r="C15" s="7"/>
      <c r="D15" s="11">
        <f>FV(D14,D13*12,D12*-1)</f>
        <v>41888.456999243819</v>
      </c>
      <c r="E15" s="2"/>
      <c r="F15" s="2"/>
    </row>
    <row r="16" spans="2:13" ht="21" thickBot="1" x14ac:dyDescent="0.35">
      <c r="B16" s="7" t="s">
        <v>4</v>
      </c>
      <c r="C16" s="7"/>
      <c r="D16" s="11">
        <f>D15*D14</f>
        <v>451.97645102184077</v>
      </c>
      <c r="E16" s="2"/>
      <c r="F16" s="2"/>
    </row>
    <row r="17" spans="1:6" ht="21" thickBot="1" x14ac:dyDescent="0.35">
      <c r="B17" s="2"/>
      <c r="C17" s="2"/>
      <c r="D17" s="2"/>
      <c r="E17" s="2"/>
      <c r="F17" s="2"/>
    </row>
    <row r="18" spans="1:6" ht="20.25" x14ac:dyDescent="0.3">
      <c r="B18" s="12" t="s">
        <v>15</v>
      </c>
      <c r="C18" s="13"/>
      <c r="D18" s="14" t="s">
        <v>16</v>
      </c>
      <c r="E18" s="2"/>
      <c r="F18" s="2"/>
    </row>
    <row r="19" spans="1:6" ht="21" thickBot="1" x14ac:dyDescent="0.35">
      <c r="B19" s="15"/>
      <c r="C19" s="16"/>
      <c r="D19" s="17"/>
      <c r="E19" s="2"/>
      <c r="F19" s="2"/>
    </row>
    <row r="20" spans="1:6" ht="21" thickBot="1" x14ac:dyDescent="0.35">
      <c r="A20" s="1">
        <v>2</v>
      </c>
      <c r="B20" s="3" t="s">
        <v>5</v>
      </c>
      <c r="C20" s="4">
        <f>FV(D$14,A$20*12,D12*-1)</f>
        <v>13613.813648822608</v>
      </c>
      <c r="D20" s="5">
        <f>C20*carteira</f>
        <v>136.13813648822608</v>
      </c>
      <c r="E20" s="2"/>
      <c r="F20" s="2"/>
    </row>
    <row r="21" spans="1:6" ht="21" thickBot="1" x14ac:dyDescent="0.35">
      <c r="A21" s="1">
        <v>5</v>
      </c>
      <c r="B21" s="3" t="s">
        <v>6</v>
      </c>
      <c r="C21" s="4">
        <f>FV(D$14,A$21*12,D$12*-1)</f>
        <v>41888.456999243819</v>
      </c>
      <c r="D21" s="5">
        <f>C21*carteira</f>
        <v>418.88456999243817</v>
      </c>
      <c r="E21" s="2"/>
      <c r="F21" s="2"/>
    </row>
    <row r="22" spans="1:6" ht="21" thickBot="1" x14ac:dyDescent="0.35">
      <c r="A22" s="1">
        <v>10</v>
      </c>
      <c r="B22" s="3" t="s">
        <v>7</v>
      </c>
      <c r="C22" s="4">
        <f>FV(D$14,A22*12,D$12*-1)</f>
        <v>121642.1062650861</v>
      </c>
      <c r="D22" s="5">
        <f>C22*carteira</f>
        <v>1216.4210626508609</v>
      </c>
      <c r="E22" s="2"/>
      <c r="F22" s="2"/>
    </row>
    <row r="23" spans="1:6" ht="21" thickBot="1" x14ac:dyDescent="0.35">
      <c r="A23" s="1">
        <v>20</v>
      </c>
      <c r="B23" s="3" t="s">
        <v>8</v>
      </c>
      <c r="C23" s="4">
        <f t="shared" ref="C23:C24" si="0">FV(D$14,A23*12,D$12*-1)</f>
        <v>562599.20004854025</v>
      </c>
      <c r="D23" s="5">
        <f>C23*carteira</f>
        <v>5625.992000485403</v>
      </c>
      <c r="E23" s="2"/>
      <c r="F23" s="2"/>
    </row>
    <row r="24" spans="1:6" ht="21" thickBot="1" x14ac:dyDescent="0.35">
      <c r="A24" s="1">
        <v>30</v>
      </c>
      <c r="B24" s="3" t="s">
        <v>9</v>
      </c>
      <c r="C24" s="4">
        <f t="shared" si="0"/>
        <v>2161084.8275023573</v>
      </c>
      <c r="D24" s="5">
        <f>C24*carteira</f>
        <v>21610.848275023574</v>
      </c>
      <c r="E24" s="2"/>
      <c r="F24" s="2"/>
    </row>
    <row r="25" spans="1:6" ht="20.25" x14ac:dyDescent="0.3">
      <c r="B25" s="2"/>
      <c r="C25" s="2"/>
      <c r="D25" s="2"/>
      <c r="E25" s="2"/>
      <c r="F25" s="2"/>
    </row>
    <row r="26" spans="1:6" ht="20.25" x14ac:dyDescent="0.3">
      <c r="B26" s="2"/>
      <c r="C26" s="2"/>
      <c r="D26" s="2"/>
      <c r="E26" s="2"/>
      <c r="F26" s="2"/>
    </row>
  </sheetData>
  <mergeCells count="12">
    <mergeCell ref="B18:C19"/>
    <mergeCell ref="D18:D19"/>
    <mergeCell ref="K10:M10"/>
    <mergeCell ref="K12:L12"/>
    <mergeCell ref="K13:L13"/>
    <mergeCell ref="K14:L14"/>
    <mergeCell ref="B12:C12"/>
    <mergeCell ref="B13:C13"/>
    <mergeCell ref="B14:C14"/>
    <mergeCell ref="B15:C15"/>
    <mergeCell ref="B16:C16"/>
    <mergeCell ref="B10:D1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3</vt:i4>
      </vt:variant>
    </vt:vector>
  </HeadingPairs>
  <TitlesOfParts>
    <vt:vector size="4" baseType="lpstr">
      <vt:lpstr>ap priscila</vt:lpstr>
      <vt:lpstr>APORTE</vt:lpstr>
      <vt:lpstr>carteira</vt:lpstr>
      <vt:lpstr>rendimento_carteira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</dc:creator>
  <cp:lastModifiedBy>Cassio</cp:lastModifiedBy>
  <dcterms:created xsi:type="dcterms:W3CDTF">2025-05-29T21:38:16Z</dcterms:created>
  <dcterms:modified xsi:type="dcterms:W3CDTF">2025-05-30T00:49:25Z</dcterms:modified>
</cp:coreProperties>
</file>