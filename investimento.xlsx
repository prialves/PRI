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io\Desktop\"/>
    </mc:Choice>
  </mc:AlternateContent>
  <xr:revisionPtr revIDLastSave="0" documentId="13_ncr:1_{01A5796A-C6AC-46B1-82D9-6964245052AA}" xr6:coauthVersionLast="47" xr6:coauthVersionMax="47" xr10:uidLastSave="{00000000-0000-0000-0000-000000000000}"/>
  <bookViews>
    <workbookView xWindow="-120" yWindow="-120" windowWidth="20730" windowHeight="11040" activeTab="1" xr2:uid="{3F3BF652-A59C-4777-81D6-B28D34163779}"/>
  </bookViews>
  <sheets>
    <sheet name="ap priscila" sheetId="1" r:id="rId1"/>
    <sheet name="titular" sheetId="2" r:id="rId2"/>
    <sheet name="informaçõe" sheetId="3" r:id="rId3"/>
    <sheet name="notas" sheetId="4" r:id="rId4"/>
  </sheets>
  <definedNames>
    <definedName name="APORTE">'ap priscila'!$D$12</definedName>
    <definedName name="carteira">'ap priscila'!$M$13</definedName>
    <definedName name="rendimento_carteira">'ap priscila'!$D$13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C23" i="1"/>
  <c r="D23" i="1" s="1"/>
  <c r="C24" i="1"/>
  <c r="D24" i="1" s="1"/>
  <c r="C22" i="1"/>
  <c r="D22" i="1" s="1"/>
  <c r="C21" i="1"/>
  <c r="D21" i="1" s="1"/>
  <c r="C20" i="1"/>
  <c r="D20" i="1" s="1"/>
  <c r="D15" i="1"/>
  <c r="D16" i="1" s="1"/>
</calcChain>
</file>

<file path=xl/sharedStrings.xml><?xml version="1.0" encoding="utf-8"?>
<sst xmlns="http://schemas.openxmlformats.org/spreadsheetml/2006/main" count="33" uniqueCount="33">
  <si>
    <t>Quanto investir por mês ?</t>
  </si>
  <si>
    <t>Por Quantos Anos ?</t>
  </si>
  <si>
    <t>Taxa de Rendimento mensal ?</t>
  </si>
  <si>
    <t>Patrimônio acumulado ?</t>
  </si>
  <si>
    <t>Dividendos Mensais ?</t>
  </si>
  <si>
    <t>Quanto em 2 Anos ?</t>
  </si>
  <si>
    <t>Quanto em 5 Anos ?</t>
  </si>
  <si>
    <t>Quanto em 10 Anos ?</t>
  </si>
  <si>
    <t>Quanto em 20 Anos ?</t>
  </si>
  <si>
    <t>Quanto em 30 Anos ?</t>
  </si>
  <si>
    <t>rendimento da carteira</t>
  </si>
  <si>
    <t>Salario</t>
  </si>
  <si>
    <t>Sugestao de investimento</t>
  </si>
  <si>
    <t>INVESTIMENTO INICIAL</t>
  </si>
  <si>
    <t>CONFIGURAÇÕES</t>
  </si>
  <si>
    <t>CENARIOS</t>
  </si>
  <si>
    <t>DIVIDENDO</t>
  </si>
  <si>
    <t>Nome</t>
  </si>
  <si>
    <t>Nascimento</t>
  </si>
  <si>
    <t>CPF</t>
  </si>
  <si>
    <t>Titulo de eleitor</t>
  </si>
  <si>
    <t>Conjuge</t>
  </si>
  <si>
    <t>Rua</t>
  </si>
  <si>
    <t>CEP</t>
  </si>
  <si>
    <t>Telefone</t>
  </si>
  <si>
    <t>Celular</t>
  </si>
  <si>
    <t>Email</t>
  </si>
  <si>
    <t>dependente</t>
  </si>
  <si>
    <t>Residente exterior</t>
  </si>
  <si>
    <t>Houve alterações</t>
  </si>
  <si>
    <t>1 Dados do titular</t>
  </si>
  <si>
    <t>preencha os dados da sua pessoa fisica abaixo</t>
  </si>
  <si>
    <t>priscilla_all@hotmail.com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</si>
</sst>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#,##0.00;[Red]\-&quot;R$&quot;#,##0.00"/>
    <numFmt numFmtId="44" formatCode="_-&quot;R$&quot;* #,##0.00_-;\-&quot;R$&quot;* #,##0.00_-;_-&quot;R$&quot;* &quot;-&quot;??_-;_-@_-"/>
    <numFmt numFmtId="43" formatCode="_-* #,##0.00_-;\-* #,##0.00_-;_-* &quot;-&quot;??_-;_-@_-"/>
    <numFmt numFmtId="167" formatCode="&quot;R$&quot;\ #,##0.00"/>
    <numFmt numFmtId="168" formatCode="&quot;R$&quot;#,##0.00"/>
    <numFmt numFmtId="189" formatCode="000&quot;.&quot;000&quot;.&quot;000&quot;-&quot;00"/>
    <numFmt numFmtId="190" formatCode="00000&quot;-&quot;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2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/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9.9917600024414813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9.9917600024414813E-2"/>
      </left>
      <right style="thin">
        <color theme="2" tint="-9.9948118533890809E-2"/>
      </right>
      <top style="thin">
        <color theme="2" tint="-9.9948118533890809E-2"/>
      </top>
      <bottom style="thick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2" tint="-9.9917600024414813E-2"/>
      </bottom>
      <diagonal/>
    </border>
    <border>
      <left style="thin">
        <color theme="2" tint="-9.9948118533890809E-2"/>
      </left>
      <right style="thick">
        <color theme="2" tint="-9.9917600024414813E-2"/>
      </right>
      <top style="thin">
        <color theme="2" tint="-9.9948118533890809E-2"/>
      </top>
      <bottom style="thick">
        <color theme="2" tint="-9.9917600024414813E-2"/>
      </bottom>
      <diagonal/>
    </border>
    <border>
      <left style="thick">
        <color theme="2" tint="-9.9917600024414813E-2"/>
      </left>
      <right/>
      <top style="thick">
        <color theme="2" tint="-9.9917600024414813E-2"/>
      </top>
      <bottom style="thin">
        <color theme="2" tint="-9.9948118533890809E-2"/>
      </bottom>
      <diagonal/>
    </border>
    <border>
      <left/>
      <right/>
      <top style="thick">
        <color theme="2" tint="-9.9917600024414813E-2"/>
      </top>
      <bottom style="thin">
        <color theme="2" tint="-9.9948118533890809E-2"/>
      </bottom>
      <diagonal/>
    </border>
    <border>
      <left/>
      <right style="thick">
        <color theme="2" tint="-9.9917600024414813E-2"/>
      </right>
      <top style="thick">
        <color theme="2" tint="-9.9917600024414813E-2"/>
      </top>
      <bottom style="thin">
        <color theme="2" tint="-9.9948118533890809E-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0" fontId="6" fillId="3" borderId="2" xfId="0" applyFont="1" applyFill="1" applyBorder="1" applyAlignment="1">
      <alignment horizontal="left" indent="3"/>
    </xf>
    <xf numFmtId="167" fontId="6" fillId="3" borderId="2" xfId="0" applyNumberFormat="1" applyFont="1" applyFill="1" applyBorder="1" applyAlignment="1">
      <alignment horizontal="center"/>
    </xf>
    <xf numFmtId="168" fontId="6" fillId="3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left" indent="3"/>
    </xf>
    <xf numFmtId="0" fontId="7" fillId="5" borderId="2" xfId="0" applyFont="1" applyFill="1" applyBorder="1" applyAlignment="1">
      <alignment horizontal="left" indent="3"/>
    </xf>
    <xf numFmtId="44" fontId="6" fillId="0" borderId="2" xfId="2" applyFont="1" applyBorder="1"/>
    <xf numFmtId="1" fontId="6" fillId="0" borderId="2" xfId="0" applyNumberFormat="1" applyFont="1" applyBorder="1"/>
    <xf numFmtId="10" fontId="6" fillId="0" borderId="2" xfId="0" applyNumberFormat="1" applyFont="1" applyBorder="1"/>
    <xf numFmtId="8" fontId="7" fillId="5" borderId="2" xfId="0" applyNumberFormat="1" applyFont="1" applyFill="1" applyBorder="1"/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0" fillId="0" borderId="0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7" borderId="0" xfId="0" applyFill="1"/>
    <xf numFmtId="0" fontId="2" fillId="0" borderId="1" xfId="3"/>
    <xf numFmtId="0" fontId="3" fillId="2" borderId="19" xfId="4" applyBorder="1"/>
    <xf numFmtId="0" fontId="3" fillId="2" borderId="21" xfId="4" applyBorder="1"/>
    <xf numFmtId="0" fontId="0" fillId="0" borderId="18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2" xfId="0" applyBorder="1" applyAlignment="1">
      <alignment horizontal="right"/>
    </xf>
    <xf numFmtId="0" fontId="10" fillId="7" borderId="23" xfId="0" applyFont="1" applyFill="1" applyBorder="1" applyAlignment="1">
      <alignment horizontal="center"/>
    </xf>
    <xf numFmtId="189" fontId="3" fillId="2" borderId="21" xfId="1" applyNumberFormat="1" applyFont="1" applyFill="1" applyBorder="1"/>
    <xf numFmtId="190" fontId="3" fillId="2" borderId="21" xfId="4" applyNumberFormat="1" applyBorder="1"/>
    <xf numFmtId="0" fontId="11" fillId="2" borderId="21" xfId="5" applyFill="1" applyBorder="1"/>
  </cellXfs>
  <cellStyles count="6">
    <cellStyle name="Hiperlink" xfId="5" builtinId="8"/>
    <cellStyle name="Moeda" xfId="2" builtinId="4"/>
    <cellStyle name="Neutro" xfId="4" builtinId="28"/>
    <cellStyle name="Normal" xfId="0" builtinId="0"/>
    <cellStyle name="Título 1" xfId="3" builtinId="16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investimento.xlsx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563335</xdr:colOff>
      <xdr:row>0</xdr:row>
      <xdr:rowOff>138793</xdr:rowOff>
    </xdr:from>
    <xdr:to>
      <xdr:col>6</xdr:col>
      <xdr:colOff>190499</xdr:colOff>
      <xdr:row>8</xdr:row>
      <xdr:rowOff>34018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740552-565F-27AE-D6B1-0FD4354E0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40" b="12625"/>
        <a:stretch/>
      </xdr:blipFill>
      <xdr:spPr>
        <a:xfrm>
          <a:off x="563335" y="138793"/>
          <a:ext cx="8077200" cy="1419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447675</xdr:colOff>
      <xdr:row>2</xdr:row>
      <xdr:rowOff>76200</xdr:rowOff>
    </xdr:from>
    <xdr:to>
      <xdr:col>0</xdr:col>
      <xdr:colOff>1476375</xdr:colOff>
      <xdr:row>7</xdr:row>
      <xdr:rowOff>76200</xdr:rowOff>
    </xdr:to>
    <xdr:pic>
      <xdr:nvPicPr>
        <xdr:cNvPr id="2" name="Imagem 1" descr="Imagens de Lion Icon – Explore Fotografias do Stock, Vetores ...">
          <a:extLst>
            <a:ext uri="{FF2B5EF4-FFF2-40B4-BE49-F238E27FC236}">
              <a16:creationId xmlns:a16="http://schemas.microsoft.com/office/drawing/2014/main" id="{901A3036-4F36-CEA5-6930-342F5A03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5720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E5FB304-237B-07AF-485C-BBA2DFE82AFD}"/>
            </a:ext>
          </a:extLst>
        </xdr:cNvPr>
        <xdr:cNvSpPr/>
      </xdr:nvSpPr>
      <xdr:spPr>
        <a:xfrm>
          <a:off x="0" y="0"/>
          <a:ext cx="1943100" cy="52387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gradFill flip="none" rotWithShape="1">
                <a:gsLst>
                  <a:gs pos="0">
                    <a:schemeClr val="accent4">
                      <a:lumMod val="89000"/>
                    </a:schemeClr>
                  </a:gs>
                  <a:gs pos="23000">
                    <a:schemeClr val="accent4">
                      <a:lumMod val="89000"/>
                    </a:schemeClr>
                  </a:gs>
                  <a:gs pos="69000">
                    <a:schemeClr val="accent4">
                      <a:lumMod val="75000"/>
                    </a:schemeClr>
                  </a:gs>
                  <a:gs pos="97000">
                    <a:schemeClr val="accent4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rPr>
            <a:t>Lion</a:t>
          </a:r>
          <a:endParaRPr lang="pt-BR" sz="1100">
            <a:gradFill flip="none" rotWithShape="1">
              <a:gsLst>
                <a:gs pos="0">
                  <a:schemeClr val="accent4">
                    <a:lumMod val="89000"/>
                  </a:schemeClr>
                </a:gs>
                <a:gs pos="23000">
                  <a:schemeClr val="accent4">
                    <a:lumMod val="89000"/>
                  </a:schemeClr>
                </a:gs>
                <a:gs pos="69000">
                  <a:schemeClr val="accent4">
                    <a:lumMod val="75000"/>
                  </a:schemeClr>
                </a:gs>
                <a:gs pos="97000">
                  <a:schemeClr val="accent4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</a:endParaRPr>
        </a:p>
      </xdr:txBody>
    </xdr:sp>
    <xdr:clientData/>
  </xdr:twoCellAnchor>
  <xdr:twoCellAnchor>
    <xdr:from>
      <xdr:col>0</xdr:col>
      <xdr:colOff>247650</xdr:colOff>
      <xdr:row>8</xdr:row>
      <xdr:rowOff>95250</xdr:rowOff>
    </xdr:from>
    <xdr:to>
      <xdr:col>0</xdr:col>
      <xdr:colOff>1733550</xdr:colOff>
      <xdr:row>10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F7DEBB-BC39-B755-D085-E11E56AF59FF}"/>
            </a:ext>
          </a:extLst>
        </xdr:cNvPr>
        <xdr:cNvSpPr/>
      </xdr:nvSpPr>
      <xdr:spPr>
        <a:xfrm>
          <a:off x="247650" y="1619250"/>
          <a:ext cx="1485900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  <a:endParaRPr lang="pt-BR" sz="1100"/>
        </a:p>
      </xdr:txBody>
    </xdr:sp>
    <xdr:clientData/>
  </xdr:twoCellAnchor>
  <xdr:twoCellAnchor>
    <xdr:from>
      <xdr:col>0</xdr:col>
      <xdr:colOff>247650</xdr:colOff>
      <xdr:row>11</xdr:row>
      <xdr:rowOff>85725</xdr:rowOff>
    </xdr:from>
    <xdr:to>
      <xdr:col>0</xdr:col>
      <xdr:colOff>1733550</xdr:colOff>
      <xdr:row>13</xdr:row>
      <xdr:rowOff>161925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C9A02-2C13-4E9B-AD62-B14F99B97380}"/>
            </a:ext>
          </a:extLst>
        </xdr:cNvPr>
        <xdr:cNvSpPr/>
      </xdr:nvSpPr>
      <xdr:spPr>
        <a:xfrm>
          <a:off x="247650" y="2181225"/>
          <a:ext cx="1485900" cy="457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/>
            <a:t>Informes</a:t>
          </a:r>
          <a:endParaRPr lang="pt-BR" sz="1100"/>
        </a:p>
      </xdr:txBody>
    </xdr:sp>
    <xdr:clientData/>
  </xdr:twoCellAnchor>
  <xdr:twoCellAnchor>
    <xdr:from>
      <xdr:col>0</xdr:col>
      <xdr:colOff>238125</xdr:colOff>
      <xdr:row>14</xdr:row>
      <xdr:rowOff>76200</xdr:rowOff>
    </xdr:from>
    <xdr:to>
      <xdr:col>0</xdr:col>
      <xdr:colOff>1724025</xdr:colOff>
      <xdr:row>16</xdr:row>
      <xdr:rowOff>152400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B004C570-C423-4669-AE90-576047DEF06F}"/>
            </a:ext>
          </a:extLst>
        </xdr:cNvPr>
        <xdr:cNvSpPr/>
      </xdr:nvSpPr>
      <xdr:spPr>
        <a:xfrm>
          <a:off x="238125" y="2743200"/>
          <a:ext cx="1485900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  <a:endParaRPr lang="pt-BR" sz="3200"/>
        </a:p>
        <a:p>
          <a:pPr algn="ctr"/>
          <a:endParaRPr lang="pt-BR" sz="1200"/>
        </a:p>
      </xdr:txBody>
    </xdr:sp>
    <xdr:clientData/>
  </xdr:twoCellAnchor>
  <xdr:twoCellAnchor editAs="absolute">
    <xdr:from>
      <xdr:col>0</xdr:col>
      <xdr:colOff>200025</xdr:colOff>
      <xdr:row>18</xdr:row>
      <xdr:rowOff>0</xdr:rowOff>
    </xdr:from>
    <xdr:to>
      <xdr:col>0</xdr:col>
      <xdr:colOff>1685925</xdr:colOff>
      <xdr:row>20</xdr:row>
      <xdr:rowOff>76200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C6B7267-AA5C-427B-AF77-A2E27600D7DE}"/>
            </a:ext>
          </a:extLst>
        </xdr:cNvPr>
        <xdr:cNvSpPr/>
      </xdr:nvSpPr>
      <xdr:spPr>
        <a:xfrm>
          <a:off x="200025" y="3505200"/>
          <a:ext cx="1485900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Sistema</a:t>
          </a:r>
          <a:r>
            <a:rPr lang="pt-BR" sz="1100" baseline="0"/>
            <a:t> </a:t>
          </a:r>
          <a:r>
            <a:rPr lang="pt-BR" sz="1100"/>
            <a:t>😁</a:t>
          </a:r>
        </a:p>
      </xdr:txBody>
    </xdr:sp>
    <xdr:clientData/>
  </xdr:twoCellAnchor>
  <xdr:twoCellAnchor editAs="absolute">
    <xdr:from>
      <xdr:col>3</xdr:col>
      <xdr:colOff>1476375</xdr:colOff>
      <xdr:row>19</xdr:row>
      <xdr:rowOff>114300</xdr:rowOff>
    </xdr:from>
    <xdr:to>
      <xdr:col>4</xdr:col>
      <xdr:colOff>476250</xdr:colOff>
      <xdr:row>21</xdr:row>
      <xdr:rowOff>76200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01F1DA-05B4-B16F-E28A-B97A6954442B}"/>
            </a:ext>
          </a:extLst>
        </xdr:cNvPr>
        <xdr:cNvSpPr/>
      </xdr:nvSpPr>
      <xdr:spPr>
        <a:xfrm>
          <a:off x="6219825" y="3810000"/>
          <a:ext cx="176212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iscilla_all@hotmail.com?subject=ref%20declara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F992-A8A6-4CDF-97B7-E408BC31D94C}">
  <dimension ref="A6:M26"/>
  <sheetViews>
    <sheetView showGridLines="0" zoomScale="70" zoomScaleNormal="70" workbookViewId="0">
      <selection activeCell="K10" sqref="K10:M10"/>
    </sheetView>
  </sheetViews>
  <sheetFormatPr defaultRowHeight="15" x14ac:dyDescent="0.25"/>
  <cols>
    <col min="2" max="2" width="35" bestFit="1" customWidth="1"/>
    <col min="3" max="3" width="38.85546875" customWidth="1"/>
    <col min="4" max="4" width="25.28515625" bestFit="1" customWidth="1"/>
    <col min="8" max="8" width="5.140625" customWidth="1"/>
    <col min="9" max="9" width="9.140625" hidden="1" customWidth="1"/>
    <col min="10" max="10" width="5.7109375" customWidth="1"/>
    <col min="12" max="12" width="21" customWidth="1"/>
  </cols>
  <sheetData>
    <row r="6" spans="2:13" x14ac:dyDescent="0.25">
      <c r="J6" s="28"/>
    </row>
    <row r="9" spans="2:13" ht="15.75" thickBot="1" x14ac:dyDescent="0.3">
      <c r="K9" s="18"/>
      <c r="L9" s="18"/>
      <c r="M9" s="18"/>
    </row>
    <row r="10" spans="2:13" ht="40.5" customHeight="1" thickTop="1" thickBot="1" x14ac:dyDescent="0.35">
      <c r="B10" s="26" t="s">
        <v>13</v>
      </c>
      <c r="C10" s="26"/>
      <c r="D10" s="26"/>
      <c r="E10" s="27"/>
      <c r="F10" s="27"/>
      <c r="G10" s="28"/>
      <c r="H10" s="28"/>
      <c r="I10" s="28"/>
      <c r="K10" s="32" t="s">
        <v>14</v>
      </c>
      <c r="L10" s="33"/>
      <c r="M10" s="34"/>
    </row>
    <row r="11" spans="2:13" ht="33" hidden="1" customHeight="1" thickBot="1" x14ac:dyDescent="0.35">
      <c r="B11" s="26"/>
      <c r="C11" s="26"/>
      <c r="D11" s="26"/>
      <c r="E11" s="27"/>
      <c r="F11" s="27"/>
      <c r="G11" s="28"/>
      <c r="H11" s="28"/>
      <c r="I11" s="28"/>
      <c r="J11" s="28"/>
      <c r="K11" s="29"/>
      <c r="L11" s="30"/>
      <c r="M11" s="31"/>
    </row>
    <row r="12" spans="2:13" ht="21" thickBot="1" x14ac:dyDescent="0.35">
      <c r="B12" s="6" t="s">
        <v>0</v>
      </c>
      <c r="C12" s="6"/>
      <c r="D12" s="8">
        <v>500</v>
      </c>
      <c r="E12" s="2"/>
      <c r="F12" s="2"/>
      <c r="K12" s="21" t="s">
        <v>11</v>
      </c>
      <c r="L12" s="19"/>
      <c r="M12" s="20">
        <v>5000</v>
      </c>
    </row>
    <row r="13" spans="2:13" ht="21" thickBot="1" x14ac:dyDescent="0.35">
      <c r="B13" s="6" t="s">
        <v>1</v>
      </c>
      <c r="C13" s="6"/>
      <c r="D13" s="9">
        <v>5</v>
      </c>
      <c r="E13" s="2"/>
      <c r="F13" s="2"/>
      <c r="K13" s="21" t="s">
        <v>10</v>
      </c>
      <c r="L13" s="19"/>
      <c r="M13" s="22">
        <v>0.01</v>
      </c>
    </row>
    <row r="14" spans="2:13" ht="21" thickBot="1" x14ac:dyDescent="0.35">
      <c r="B14" s="6" t="s">
        <v>2</v>
      </c>
      <c r="C14" s="6"/>
      <c r="D14" s="10">
        <v>1.0789999999999999E-2</v>
      </c>
      <c r="E14" s="2"/>
      <c r="F14" s="2"/>
      <c r="K14" s="23" t="s">
        <v>12</v>
      </c>
      <c r="L14" s="24"/>
      <c r="M14" s="25">
        <f>M12*30%</f>
        <v>1500</v>
      </c>
    </row>
    <row r="15" spans="2:13" ht="21" thickBot="1" x14ac:dyDescent="0.35">
      <c r="B15" s="7" t="s">
        <v>3</v>
      </c>
      <c r="C15" s="7"/>
      <c r="D15" s="11">
        <f>FV(D14,D13*12,D12*-1)</f>
        <v>41888.456999243819</v>
      </c>
      <c r="E15" s="2"/>
      <c r="F15" s="2"/>
    </row>
    <row r="16" spans="2:13" ht="21" thickBot="1" x14ac:dyDescent="0.35">
      <c r="B16" s="7" t="s">
        <v>4</v>
      </c>
      <c r="C16" s="7"/>
      <c r="D16" s="11">
        <f>D15*D14</f>
        <v>451.97645102184077</v>
      </c>
      <c r="E16" s="2"/>
      <c r="F16" s="2"/>
    </row>
    <row r="17" spans="1:6" ht="21" thickBot="1" x14ac:dyDescent="0.35">
      <c r="B17" s="2"/>
      <c r="C17" s="2"/>
      <c r="D17" s="2"/>
      <c r="E17" s="2"/>
      <c r="F17" s="2"/>
    </row>
    <row r="18" spans="1:6" ht="20.25" x14ac:dyDescent="0.3">
      <c r="B18" s="12" t="s">
        <v>15</v>
      </c>
      <c r="C18" s="13"/>
      <c r="D18" s="14" t="s">
        <v>16</v>
      </c>
      <c r="E18" s="2"/>
      <c r="F18" s="2"/>
    </row>
    <row r="19" spans="1:6" ht="21" thickBot="1" x14ac:dyDescent="0.35">
      <c r="B19" s="15"/>
      <c r="C19" s="16"/>
      <c r="D19" s="17"/>
      <c r="E19" s="2"/>
      <c r="F19" s="2"/>
    </row>
    <row r="20" spans="1:6" ht="21" thickBot="1" x14ac:dyDescent="0.35">
      <c r="A20" s="1">
        <v>2</v>
      </c>
      <c r="B20" s="3" t="s">
        <v>5</v>
      </c>
      <c r="C20" s="4">
        <f>FV(D$14,A$20*12,D12*-1)</f>
        <v>13613.813648822608</v>
      </c>
      <c r="D20" s="5">
        <f>C20*carteira</f>
        <v>136.13813648822608</v>
      </c>
      <c r="E20" s="2"/>
      <c r="F20" s="2"/>
    </row>
    <row r="21" spans="1:6" ht="21" thickBot="1" x14ac:dyDescent="0.35">
      <c r="A21" s="1">
        <v>5</v>
      </c>
      <c r="B21" s="3" t="s">
        <v>6</v>
      </c>
      <c r="C21" s="4">
        <f>FV(D$14,A$21*12,D$12*-1)</f>
        <v>41888.456999243819</v>
      </c>
      <c r="D21" s="5">
        <f>C21*carteira</f>
        <v>418.88456999243817</v>
      </c>
      <c r="E21" s="2"/>
      <c r="F21" s="2"/>
    </row>
    <row r="22" spans="1:6" ht="21" thickBot="1" x14ac:dyDescent="0.35">
      <c r="A22" s="1">
        <v>10</v>
      </c>
      <c r="B22" s="3" t="s">
        <v>7</v>
      </c>
      <c r="C22" s="4">
        <f>FV(D$14,A22*12,D$12*-1)</f>
        <v>121642.1062650861</v>
      </c>
      <c r="D22" s="5">
        <f>C22*carteira</f>
        <v>1216.4210626508609</v>
      </c>
      <c r="E22" s="2"/>
      <c r="F22" s="2"/>
    </row>
    <row r="23" spans="1:6" ht="21" thickBot="1" x14ac:dyDescent="0.35">
      <c r="A23" s="1">
        <v>20</v>
      </c>
      <c r="B23" s="3" t="s">
        <v>8</v>
      </c>
      <c r="C23" s="4">
        <f t="shared" ref="C23:C24" si="0">FV(D$14,A23*12,D$12*-1)</f>
        <v>562599.20004854025</v>
      </c>
      <c r="D23" s="5">
        <f>C23*carteira</f>
        <v>5625.992000485403</v>
      </c>
      <c r="E23" s="2"/>
      <c r="F23" s="2"/>
    </row>
    <row r="24" spans="1:6" ht="21" thickBot="1" x14ac:dyDescent="0.35">
      <c r="A24" s="1">
        <v>30</v>
      </c>
      <c r="B24" s="3" t="s">
        <v>9</v>
      </c>
      <c r="C24" s="4">
        <f t="shared" si="0"/>
        <v>2161084.8275023573</v>
      </c>
      <c r="D24" s="5">
        <f>C24*carteira</f>
        <v>21610.848275023574</v>
      </c>
      <c r="E24" s="2"/>
      <c r="F24" s="2"/>
    </row>
    <row r="25" spans="1:6" ht="20.25" x14ac:dyDescent="0.3">
      <c r="B25" s="2"/>
      <c r="C25" s="2"/>
      <c r="D25" s="2"/>
      <c r="E25" s="2"/>
      <c r="F25" s="2"/>
    </row>
    <row r="26" spans="1:6" ht="20.25" x14ac:dyDescent="0.3">
      <c r="B26" s="2"/>
      <c r="C26" s="2"/>
      <c r="D26" s="2"/>
      <c r="E26" s="2"/>
      <c r="F26" s="2"/>
    </row>
  </sheetData>
  <mergeCells count="12">
    <mergeCell ref="B18:C19"/>
    <mergeCell ref="D18:D19"/>
    <mergeCell ref="K10:M10"/>
    <mergeCell ref="K12:L12"/>
    <mergeCell ref="K13:L13"/>
    <mergeCell ref="K14:L14"/>
    <mergeCell ref="B12:C12"/>
    <mergeCell ref="B13:C13"/>
    <mergeCell ref="B14:C14"/>
    <mergeCell ref="B15:C15"/>
    <mergeCell ref="B16:C16"/>
    <mergeCell ref="B10:D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9933-5C73-485C-BF8D-C877506D8E41}">
  <dimension ref="A3:E18"/>
  <sheetViews>
    <sheetView showGridLines="0" tabSelected="1" topLeftCell="A5" workbookViewId="0">
      <selection activeCell="A10" sqref="A10"/>
    </sheetView>
  </sheetViews>
  <sheetFormatPr defaultRowHeight="15" x14ac:dyDescent="0.25"/>
  <cols>
    <col min="1" max="1" width="29.140625" style="35" customWidth="1"/>
    <col min="2" max="2" width="9.140625" customWidth="1"/>
    <col min="3" max="3" width="32.85546875" customWidth="1"/>
    <col min="4" max="4" width="41.42578125" customWidth="1"/>
  </cols>
  <sheetData>
    <row r="3" spans="3:5" ht="20.25" thickBot="1" x14ac:dyDescent="0.35">
      <c r="C3" s="36" t="s">
        <v>30</v>
      </c>
      <c r="D3" s="36"/>
      <c r="E3" s="36"/>
    </row>
    <row r="4" spans="3:5" ht="15.75" thickTop="1" x14ac:dyDescent="0.25">
      <c r="C4" s="42" t="s">
        <v>31</v>
      </c>
      <c r="D4" s="42"/>
      <c r="E4" s="42"/>
    </row>
    <row r="6" spans="3:5" x14ac:dyDescent="0.25">
      <c r="C6" s="39" t="s">
        <v>17</v>
      </c>
      <c r="D6" s="37"/>
    </row>
    <row r="7" spans="3:5" x14ac:dyDescent="0.25">
      <c r="C7" s="40" t="s">
        <v>18</v>
      </c>
      <c r="D7" s="38"/>
    </row>
    <row r="8" spans="3:5" x14ac:dyDescent="0.25">
      <c r="C8" s="40" t="s">
        <v>19</v>
      </c>
      <c r="D8" s="43">
        <v>89787887</v>
      </c>
    </row>
    <row r="9" spans="3:5" x14ac:dyDescent="0.25">
      <c r="C9" s="40" t="s">
        <v>20</v>
      </c>
      <c r="D9" s="38"/>
    </row>
    <row r="10" spans="3:5" x14ac:dyDescent="0.25">
      <c r="C10" s="40" t="s">
        <v>21</v>
      </c>
      <c r="D10" s="38"/>
    </row>
    <row r="11" spans="3:5" x14ac:dyDescent="0.25">
      <c r="C11" s="40" t="s">
        <v>22</v>
      </c>
      <c r="D11" s="38"/>
    </row>
    <row r="12" spans="3:5" x14ac:dyDescent="0.25">
      <c r="C12" s="40" t="s">
        <v>23</v>
      </c>
      <c r="D12" s="44">
        <v>3383120</v>
      </c>
    </row>
    <row r="13" spans="3:5" x14ac:dyDescent="0.25">
      <c r="C13" s="40" t="s">
        <v>24</v>
      </c>
      <c r="D13" s="38"/>
    </row>
    <row r="14" spans="3:5" x14ac:dyDescent="0.25">
      <c r="C14" s="40" t="s">
        <v>25</v>
      </c>
      <c r="D14" s="38"/>
    </row>
    <row r="15" spans="3:5" x14ac:dyDescent="0.25">
      <c r="C15" s="40" t="s">
        <v>26</v>
      </c>
      <c r="D15" s="45" t="s">
        <v>32</v>
      </c>
    </row>
    <row r="16" spans="3:5" x14ac:dyDescent="0.25">
      <c r="C16" s="40" t="s">
        <v>29</v>
      </c>
      <c r="D16" s="38"/>
    </row>
    <row r="17" spans="3:4" x14ac:dyDescent="0.25">
      <c r="C17" s="40" t="s">
        <v>27</v>
      </c>
      <c r="D17" s="38"/>
    </row>
    <row r="18" spans="3:4" x14ac:dyDescent="0.25">
      <c r="C18" s="41" t="s">
        <v>28</v>
      </c>
      <c r="D18" s="38"/>
    </row>
  </sheetData>
  <mergeCells count="1">
    <mergeCell ref="C4:E4"/>
  </mergeCells>
  <dataValidations count="1">
    <dataValidation type="list" allowBlank="1" showInputMessage="1" showErrorMessage="1" sqref="D16:D18" xr:uid="{709E0FB9-0C5E-4087-ACD5-37FA1A179DE7}">
      <formula1>"Sim, Não"</formula1>
    </dataValidation>
  </dataValidations>
  <hyperlinks>
    <hyperlink ref="D15" r:id="rId1" xr:uid="{883A0E46-C55E-48A3-A407-C2D1814E8436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8878-9264-4F2E-BE0C-108C8B1A2CE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C41B-B277-4BB5-BC46-614259599A1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ap priscila</vt:lpstr>
      <vt:lpstr>titular</vt:lpstr>
      <vt:lpstr>informaçõe</vt:lpstr>
      <vt:lpstr>notas</vt:lpstr>
      <vt:lpstr>APORTE</vt:lpstr>
      <vt:lpstr>carteira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</dc:creator>
  <cp:lastModifiedBy>Cassio</cp:lastModifiedBy>
  <dcterms:created xsi:type="dcterms:W3CDTF">2025-05-29T21:38:16Z</dcterms:created>
  <dcterms:modified xsi:type="dcterms:W3CDTF">2025-05-31T00:21:39Z</dcterms:modified>
</cp:coreProperties>
</file>